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2026-01-Spring/GLOH-6604/gloh6604-s3/libs/pic/"/>
    </mc:Choice>
  </mc:AlternateContent>
  <xr:revisionPtr revIDLastSave="0" documentId="13_ncr:1_{64610E81-C29B-3B43-B3CF-F06C53C0827A}" xr6:coauthVersionLast="47" xr6:coauthVersionMax="47" xr10:uidLastSave="{00000000-0000-0000-0000-000000000000}"/>
  <bookViews>
    <workbookView xWindow="21400" yWindow="1440" windowWidth="28040" windowHeight="17180" activeTab="2" xr2:uid="{AE6DB37F-7938-6541-8D86-E0AAFA22423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D11" i="1"/>
  <c r="B8" i="1"/>
  <c r="D4" i="1"/>
  <c r="D5" i="1"/>
  <c r="D6" i="1"/>
  <c r="D7" i="1"/>
  <c r="D2" i="1"/>
  <c r="C3" i="1"/>
  <c r="D3" i="1" s="1"/>
  <c r="C4" i="1"/>
  <c r="C5" i="1"/>
  <c r="C6" i="1"/>
  <c r="C7" i="1"/>
  <c r="C2" i="1"/>
  <c r="D8" i="1" l="1"/>
</calcChain>
</file>

<file path=xl/sharedStrings.xml><?xml version="1.0" encoding="utf-8"?>
<sst xmlns="http://schemas.openxmlformats.org/spreadsheetml/2006/main" count="17" uniqueCount="16">
  <si>
    <t xml:space="preserve">Duration </t>
  </si>
  <si>
    <t>Discount factor</t>
  </si>
  <si>
    <t>Disounted life years</t>
  </si>
  <si>
    <t>Year</t>
  </si>
  <si>
    <t>Total</t>
  </si>
  <si>
    <t>DF</t>
  </si>
  <si>
    <t>DF2</t>
  </si>
  <si>
    <t>Yr</t>
  </si>
  <si>
    <t>Age at death (years)</t>
  </si>
  <si>
    <t>Number of deaths</t>
  </si>
  <si>
    <t>Morbidity data</t>
  </si>
  <si>
    <t>Number new cases</t>
  </si>
  <si>
    <t>Averge duration of disease (years)</t>
  </si>
  <si>
    <t>Disability weight</t>
  </si>
  <si>
    <t>Value</t>
  </si>
  <si>
    <t>Life expectancy at age of death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</si>
</sst>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35A6-AEC5-FA4D-B9B2-8A0E30CD3C01}">
  <dimension ref="A1:D11"/>
  <sheetViews>
    <sheetView workbookViewId="0">
      <selection sqref="A1:D7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v>1</v>
      </c>
      <c r="C2" s="1">
        <f>1/(1+3%)^A2</f>
        <v>1</v>
      </c>
      <c r="D2" s="1">
        <f>B2*C2</f>
        <v>1</v>
      </c>
    </row>
    <row r="3" spans="1:4" x14ac:dyDescent="0.2">
      <c r="A3">
        <v>1</v>
      </c>
      <c r="B3">
        <v>1</v>
      </c>
      <c r="C3" s="1">
        <f t="shared" ref="C3:C7" si="0">1/(1+3%)^A3</f>
        <v>0.970873786407767</v>
      </c>
      <c r="D3" s="1">
        <f t="shared" ref="D3:D7" si="1">B3*C3</f>
        <v>0.970873786407767</v>
      </c>
    </row>
    <row r="4" spans="1:4" x14ac:dyDescent="0.2">
      <c r="A4">
        <v>2</v>
      </c>
      <c r="B4">
        <v>1</v>
      </c>
      <c r="C4" s="1">
        <f t="shared" si="0"/>
        <v>0.94259590913375435</v>
      </c>
      <c r="D4" s="1">
        <f t="shared" si="1"/>
        <v>0.94259590913375435</v>
      </c>
    </row>
    <row r="5" spans="1:4" x14ac:dyDescent="0.2">
      <c r="A5">
        <v>3</v>
      </c>
      <c r="B5">
        <v>1</v>
      </c>
      <c r="C5" s="1">
        <f t="shared" si="0"/>
        <v>0.91514165935315961</v>
      </c>
      <c r="D5" s="1">
        <f t="shared" si="1"/>
        <v>0.91514165935315961</v>
      </c>
    </row>
    <row r="6" spans="1:4" x14ac:dyDescent="0.2">
      <c r="A6">
        <v>4</v>
      </c>
      <c r="B6">
        <v>1</v>
      </c>
      <c r="C6" s="1">
        <f t="shared" si="0"/>
        <v>0.888487047915689</v>
      </c>
      <c r="D6" s="1">
        <f t="shared" si="1"/>
        <v>0.888487047915689</v>
      </c>
    </row>
    <row r="7" spans="1:4" x14ac:dyDescent="0.2">
      <c r="A7">
        <v>5</v>
      </c>
      <c r="B7">
        <v>1</v>
      </c>
      <c r="C7" s="1">
        <f t="shared" si="0"/>
        <v>0.86260878438416411</v>
      </c>
      <c r="D7" s="1">
        <f t="shared" si="1"/>
        <v>0.86260878438416411</v>
      </c>
    </row>
    <row r="8" spans="1:4" x14ac:dyDescent="0.2">
      <c r="A8" t="s">
        <v>4</v>
      </c>
      <c r="B8">
        <f>SUM(B2:B7)</f>
        <v>6</v>
      </c>
      <c r="D8" s="1">
        <f>SUM(D2:D7)</f>
        <v>5.5797071871945345</v>
      </c>
    </row>
    <row r="11" spans="1:4" x14ac:dyDescent="0.2">
      <c r="D11">
        <f>(1-EXP(-0.03*6))/(0.03)</f>
        <v>5.4909929529576003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6006-6F72-A94A-9C8B-C4193B37CAE4}">
  <dimension ref="A1:D72"/>
  <sheetViews>
    <sheetView workbookViewId="0">
      <selection activeCell="D28" sqref="D28"/>
    </sheetView>
  </sheetViews>
  <sheetFormatPr baseColWidth="10" defaultRowHeight="16" x14ac:dyDescent="0.2"/>
  <sheetData>
    <row r="1" spans="1:4" x14ac:dyDescent="0.2">
      <c r="A1" t="s">
        <v>7</v>
      </c>
      <c r="B1" t="s">
        <v>0</v>
      </c>
      <c r="C1" t="s">
        <v>5</v>
      </c>
      <c r="D1" t="s">
        <v>6</v>
      </c>
    </row>
    <row r="2" spans="1:4" x14ac:dyDescent="0.2">
      <c r="A2">
        <v>0</v>
      </c>
      <c r="B2">
        <v>1</v>
      </c>
      <c r="C2" s="1">
        <f>1/(1+3%)^A2</f>
        <v>1</v>
      </c>
      <c r="D2" s="1">
        <f>B2*C2</f>
        <v>1</v>
      </c>
    </row>
    <row r="3" spans="1:4" x14ac:dyDescent="0.2">
      <c r="A3">
        <v>1</v>
      </c>
      <c r="B3">
        <v>1</v>
      </c>
      <c r="C3" s="1">
        <f t="shared" ref="C3:C66" si="0">1/(1+3%)^A3</f>
        <v>0.970873786407767</v>
      </c>
      <c r="D3" s="1">
        <f t="shared" ref="D3:D66" si="1">B3*C3</f>
        <v>0.970873786407767</v>
      </c>
    </row>
    <row r="4" spans="1:4" x14ac:dyDescent="0.2">
      <c r="A4">
        <v>2</v>
      </c>
      <c r="B4">
        <v>1</v>
      </c>
      <c r="C4" s="1">
        <f t="shared" si="0"/>
        <v>0.94259590913375435</v>
      </c>
      <c r="D4" s="1">
        <f t="shared" si="1"/>
        <v>0.94259590913375435</v>
      </c>
    </row>
    <row r="5" spans="1:4" x14ac:dyDescent="0.2">
      <c r="A5">
        <v>3</v>
      </c>
      <c r="B5">
        <v>1</v>
      </c>
      <c r="C5" s="1">
        <f t="shared" si="0"/>
        <v>0.91514165935315961</v>
      </c>
      <c r="D5" s="1">
        <f t="shared" si="1"/>
        <v>0.91514165935315961</v>
      </c>
    </row>
    <row r="6" spans="1:4" x14ac:dyDescent="0.2">
      <c r="A6">
        <v>4</v>
      </c>
      <c r="B6">
        <v>1</v>
      </c>
      <c r="C6" s="1">
        <f t="shared" si="0"/>
        <v>0.888487047915689</v>
      </c>
      <c r="D6" s="1">
        <f t="shared" si="1"/>
        <v>0.888487047915689</v>
      </c>
    </row>
    <row r="7" spans="1:4" x14ac:dyDescent="0.2">
      <c r="A7">
        <v>5</v>
      </c>
      <c r="B7">
        <v>1</v>
      </c>
      <c r="C7" s="1">
        <f t="shared" si="0"/>
        <v>0.86260878438416411</v>
      </c>
      <c r="D7" s="1">
        <f t="shared" si="1"/>
        <v>0.86260878438416411</v>
      </c>
    </row>
    <row r="8" spans="1:4" x14ac:dyDescent="0.2">
      <c r="A8">
        <v>6</v>
      </c>
      <c r="B8">
        <v>1</v>
      </c>
      <c r="C8" s="1">
        <f t="shared" si="0"/>
        <v>0.83748425668365445</v>
      </c>
      <c r="D8" s="1">
        <f t="shared" si="1"/>
        <v>0.83748425668365445</v>
      </c>
    </row>
    <row r="9" spans="1:4" x14ac:dyDescent="0.2">
      <c r="A9">
        <v>7</v>
      </c>
      <c r="B9">
        <v>1</v>
      </c>
      <c r="C9" s="1">
        <f t="shared" si="0"/>
        <v>0.81309151134335378</v>
      </c>
      <c r="D9" s="1">
        <f t="shared" si="1"/>
        <v>0.81309151134335378</v>
      </c>
    </row>
    <row r="10" spans="1:4" x14ac:dyDescent="0.2">
      <c r="A10">
        <v>8</v>
      </c>
      <c r="B10">
        <v>1</v>
      </c>
      <c r="C10" s="1">
        <f t="shared" si="0"/>
        <v>0.78940923431393573</v>
      </c>
      <c r="D10" s="1">
        <f t="shared" si="1"/>
        <v>0.78940923431393573</v>
      </c>
    </row>
    <row r="11" spans="1:4" x14ac:dyDescent="0.2">
      <c r="A11">
        <v>9</v>
      </c>
      <c r="B11">
        <v>1</v>
      </c>
      <c r="C11" s="1">
        <f t="shared" si="0"/>
        <v>0.76641673234362695</v>
      </c>
      <c r="D11" s="1">
        <f t="shared" si="1"/>
        <v>0.76641673234362695</v>
      </c>
    </row>
    <row r="12" spans="1:4" x14ac:dyDescent="0.2">
      <c r="A12">
        <v>10</v>
      </c>
      <c r="B12">
        <v>1</v>
      </c>
      <c r="C12" s="1">
        <f t="shared" si="0"/>
        <v>0.74409391489672516</v>
      </c>
      <c r="D12" s="1">
        <f t="shared" si="1"/>
        <v>0.74409391489672516</v>
      </c>
    </row>
    <row r="13" spans="1:4" x14ac:dyDescent="0.2">
      <c r="A13">
        <v>11</v>
      </c>
      <c r="B13">
        <v>1</v>
      </c>
      <c r="C13" s="1">
        <f t="shared" si="0"/>
        <v>0.72242127659876232</v>
      </c>
      <c r="D13" s="1">
        <f t="shared" si="1"/>
        <v>0.72242127659876232</v>
      </c>
    </row>
    <row r="14" spans="1:4" x14ac:dyDescent="0.2">
      <c r="A14">
        <v>12</v>
      </c>
      <c r="B14">
        <v>1</v>
      </c>
      <c r="C14" s="1">
        <f t="shared" si="0"/>
        <v>0.70137988019297326</v>
      </c>
      <c r="D14" s="1">
        <f t="shared" si="1"/>
        <v>0.70137988019297326</v>
      </c>
    </row>
    <row r="15" spans="1:4" x14ac:dyDescent="0.2">
      <c r="A15">
        <v>13</v>
      </c>
      <c r="B15">
        <v>1</v>
      </c>
      <c r="C15" s="1">
        <f t="shared" si="0"/>
        <v>0.68095133999317792</v>
      </c>
      <c r="D15" s="1">
        <f t="shared" si="1"/>
        <v>0.68095133999317792</v>
      </c>
    </row>
    <row r="16" spans="1:4" x14ac:dyDescent="0.2">
      <c r="A16">
        <v>14</v>
      </c>
      <c r="B16">
        <v>1</v>
      </c>
      <c r="C16" s="1">
        <f t="shared" si="0"/>
        <v>0.66111780581861923</v>
      </c>
      <c r="D16" s="1">
        <f t="shared" si="1"/>
        <v>0.66111780581861923</v>
      </c>
    </row>
    <row r="17" spans="1:4" x14ac:dyDescent="0.2">
      <c r="A17">
        <v>15</v>
      </c>
      <c r="B17">
        <v>1</v>
      </c>
      <c r="C17" s="1">
        <f t="shared" si="0"/>
        <v>0.64186194739671765</v>
      </c>
      <c r="D17" s="1">
        <f t="shared" si="1"/>
        <v>0.64186194739671765</v>
      </c>
    </row>
    <row r="18" spans="1:4" x14ac:dyDescent="0.2">
      <c r="A18">
        <v>16</v>
      </c>
      <c r="B18">
        <v>1</v>
      </c>
      <c r="C18" s="1">
        <f t="shared" si="0"/>
        <v>0.62316693922011435</v>
      </c>
      <c r="D18" s="1">
        <f t="shared" si="1"/>
        <v>0.62316693922011435</v>
      </c>
    </row>
    <row r="19" spans="1:4" x14ac:dyDescent="0.2">
      <c r="A19">
        <v>17</v>
      </c>
      <c r="B19">
        <v>1</v>
      </c>
      <c r="C19" s="1">
        <f t="shared" si="0"/>
        <v>0.60501644584477121</v>
      </c>
      <c r="D19" s="1">
        <f t="shared" si="1"/>
        <v>0.60501644584477121</v>
      </c>
    </row>
    <row r="20" spans="1:4" x14ac:dyDescent="0.2">
      <c r="A20">
        <v>18</v>
      </c>
      <c r="B20">
        <v>1</v>
      </c>
      <c r="C20" s="1">
        <f t="shared" si="0"/>
        <v>0.5873946076162827</v>
      </c>
      <c r="D20" s="1">
        <f t="shared" si="1"/>
        <v>0.5873946076162827</v>
      </c>
    </row>
    <row r="21" spans="1:4" x14ac:dyDescent="0.2">
      <c r="A21">
        <v>19</v>
      </c>
      <c r="B21">
        <v>1</v>
      </c>
      <c r="C21" s="1">
        <f t="shared" si="0"/>
        <v>0.57028602681192497</v>
      </c>
      <c r="D21" s="1">
        <f t="shared" si="1"/>
        <v>0.57028602681192497</v>
      </c>
    </row>
    <row r="22" spans="1:4" x14ac:dyDescent="0.2">
      <c r="A22">
        <v>20</v>
      </c>
      <c r="B22">
        <v>1</v>
      </c>
      <c r="C22" s="1">
        <f t="shared" si="0"/>
        <v>0.55367575418633497</v>
      </c>
      <c r="D22" s="1">
        <f t="shared" si="1"/>
        <v>0.55367575418633497</v>
      </c>
    </row>
    <row r="23" spans="1:4" x14ac:dyDescent="0.2">
      <c r="A23">
        <v>21</v>
      </c>
      <c r="B23">
        <v>1</v>
      </c>
      <c r="C23" s="1">
        <f t="shared" si="0"/>
        <v>0.5375492759090631</v>
      </c>
      <c r="D23" s="1">
        <f t="shared" si="1"/>
        <v>0.5375492759090631</v>
      </c>
    </row>
    <row r="24" spans="1:4" x14ac:dyDescent="0.2">
      <c r="A24">
        <v>22</v>
      </c>
      <c r="B24">
        <v>1</v>
      </c>
      <c r="C24" s="1">
        <f t="shared" si="0"/>
        <v>0.52189250088258554</v>
      </c>
      <c r="D24" s="1">
        <f t="shared" si="1"/>
        <v>0.52189250088258554</v>
      </c>
    </row>
    <row r="25" spans="1:4" x14ac:dyDescent="0.2">
      <c r="A25">
        <v>23</v>
      </c>
      <c r="B25">
        <v>1</v>
      </c>
      <c r="C25" s="1">
        <f t="shared" si="0"/>
        <v>0.50669174842969467</v>
      </c>
      <c r="D25" s="1">
        <f t="shared" si="1"/>
        <v>0.50669174842969467</v>
      </c>
    </row>
    <row r="26" spans="1:4" x14ac:dyDescent="0.2">
      <c r="A26">
        <v>24</v>
      </c>
      <c r="B26">
        <v>1</v>
      </c>
      <c r="C26" s="1">
        <f t="shared" si="0"/>
        <v>0.49193373633950943</v>
      </c>
      <c r="D26" s="1">
        <f t="shared" si="1"/>
        <v>0.49193373633950943</v>
      </c>
    </row>
    <row r="27" spans="1:4" x14ac:dyDescent="0.2">
      <c r="A27">
        <v>25</v>
      </c>
      <c r="B27">
        <v>1</v>
      </c>
      <c r="C27" s="1">
        <f t="shared" si="0"/>
        <v>0.47760556926165965</v>
      </c>
      <c r="D27" s="1">
        <f t="shared" si="1"/>
        <v>0.47760556926165965</v>
      </c>
    </row>
    <row r="28" spans="1:4" x14ac:dyDescent="0.2">
      <c r="A28">
        <v>26</v>
      </c>
      <c r="B28">
        <v>1</v>
      </c>
      <c r="C28" s="1">
        <f t="shared" si="0"/>
        <v>0.46369472743850448</v>
      </c>
      <c r="D28" s="1">
        <f t="shared" si="1"/>
        <v>0.46369472743850448</v>
      </c>
    </row>
    <row r="29" spans="1:4" x14ac:dyDescent="0.2">
      <c r="A29">
        <v>27</v>
      </c>
      <c r="B29">
        <v>1</v>
      </c>
      <c r="C29" s="1">
        <f t="shared" si="0"/>
        <v>0.45018905576553836</v>
      </c>
      <c r="D29" s="1">
        <f t="shared" si="1"/>
        <v>0.45018905576553836</v>
      </c>
    </row>
    <row r="30" spans="1:4" x14ac:dyDescent="0.2">
      <c r="A30">
        <v>28</v>
      </c>
      <c r="B30">
        <v>1</v>
      </c>
      <c r="C30" s="1">
        <f t="shared" si="0"/>
        <v>0.4370767531704256</v>
      </c>
      <c r="D30" s="1">
        <f t="shared" si="1"/>
        <v>0.4370767531704256</v>
      </c>
    </row>
    <row r="31" spans="1:4" x14ac:dyDescent="0.2">
      <c r="A31">
        <v>29</v>
      </c>
      <c r="B31">
        <v>1</v>
      </c>
      <c r="C31" s="1">
        <f t="shared" si="0"/>
        <v>0.42434636230138412</v>
      </c>
      <c r="D31" s="1">
        <f t="shared" si="1"/>
        <v>0.42434636230138412</v>
      </c>
    </row>
    <row r="32" spans="1:4" x14ac:dyDescent="0.2">
      <c r="A32">
        <v>30</v>
      </c>
      <c r="B32">
        <v>1</v>
      </c>
      <c r="C32" s="1">
        <f t="shared" si="0"/>
        <v>0.41198675951590691</v>
      </c>
      <c r="D32" s="1">
        <f t="shared" si="1"/>
        <v>0.41198675951590691</v>
      </c>
    </row>
    <row r="33" spans="1:4" x14ac:dyDescent="0.2">
      <c r="A33">
        <v>31</v>
      </c>
      <c r="B33">
        <v>1</v>
      </c>
      <c r="C33" s="1">
        <f t="shared" si="0"/>
        <v>0.39998714516107459</v>
      </c>
      <c r="D33" s="1">
        <f t="shared" si="1"/>
        <v>0.39998714516107459</v>
      </c>
    </row>
    <row r="34" spans="1:4" x14ac:dyDescent="0.2">
      <c r="A34">
        <v>32</v>
      </c>
      <c r="B34">
        <v>1</v>
      </c>
      <c r="C34" s="1">
        <f t="shared" si="0"/>
        <v>0.38833703413696569</v>
      </c>
      <c r="D34" s="1">
        <f t="shared" si="1"/>
        <v>0.38833703413696569</v>
      </c>
    </row>
    <row r="35" spans="1:4" x14ac:dyDescent="0.2">
      <c r="A35">
        <v>33</v>
      </c>
      <c r="B35">
        <v>1</v>
      </c>
      <c r="C35" s="1">
        <f t="shared" si="0"/>
        <v>0.37702624673491814</v>
      </c>
      <c r="D35" s="1">
        <f t="shared" si="1"/>
        <v>0.37702624673491814</v>
      </c>
    </row>
    <row r="36" spans="1:4" x14ac:dyDescent="0.2">
      <c r="A36">
        <v>34</v>
      </c>
      <c r="B36">
        <v>1</v>
      </c>
      <c r="C36" s="1">
        <f t="shared" si="0"/>
        <v>0.36604489974263904</v>
      </c>
      <c r="D36" s="1">
        <f t="shared" si="1"/>
        <v>0.36604489974263904</v>
      </c>
    </row>
    <row r="37" spans="1:4" x14ac:dyDescent="0.2">
      <c r="A37">
        <v>35</v>
      </c>
      <c r="B37">
        <v>1</v>
      </c>
      <c r="C37" s="1">
        <f t="shared" si="0"/>
        <v>0.35538339780838735</v>
      </c>
      <c r="D37" s="1">
        <f t="shared" si="1"/>
        <v>0.35538339780838735</v>
      </c>
    </row>
    <row r="38" spans="1:4" x14ac:dyDescent="0.2">
      <c r="A38">
        <v>36</v>
      </c>
      <c r="B38">
        <v>1</v>
      </c>
      <c r="C38" s="1">
        <f t="shared" si="0"/>
        <v>0.34503242505668674</v>
      </c>
      <c r="D38" s="1">
        <f t="shared" si="1"/>
        <v>0.34503242505668674</v>
      </c>
    </row>
    <row r="39" spans="1:4" x14ac:dyDescent="0.2">
      <c r="A39">
        <v>37</v>
      </c>
      <c r="B39">
        <v>1</v>
      </c>
      <c r="C39" s="1">
        <f t="shared" si="0"/>
        <v>0.33498293694823961</v>
      </c>
      <c r="D39" s="1">
        <f t="shared" si="1"/>
        <v>0.33498293694823961</v>
      </c>
    </row>
    <row r="40" spans="1:4" x14ac:dyDescent="0.2">
      <c r="A40">
        <v>38</v>
      </c>
      <c r="B40">
        <v>1</v>
      </c>
      <c r="C40" s="1">
        <f t="shared" si="0"/>
        <v>0.3252261523769317</v>
      </c>
      <c r="D40" s="1">
        <f t="shared" si="1"/>
        <v>0.3252261523769317</v>
      </c>
    </row>
    <row r="41" spans="1:4" x14ac:dyDescent="0.2">
      <c r="A41">
        <v>39</v>
      </c>
      <c r="B41">
        <v>1</v>
      </c>
      <c r="C41" s="1">
        <f t="shared" si="0"/>
        <v>0.31575354599702099</v>
      </c>
      <c r="D41" s="1">
        <f t="shared" si="1"/>
        <v>0.31575354599702099</v>
      </c>
    </row>
    <row r="42" spans="1:4" x14ac:dyDescent="0.2">
      <c r="A42">
        <v>40</v>
      </c>
      <c r="B42">
        <v>1</v>
      </c>
      <c r="C42" s="1">
        <f t="shared" si="0"/>
        <v>0.30655684077380685</v>
      </c>
      <c r="D42" s="1">
        <f t="shared" si="1"/>
        <v>0.30655684077380685</v>
      </c>
    </row>
    <row r="43" spans="1:4" x14ac:dyDescent="0.2">
      <c r="A43">
        <v>41</v>
      </c>
      <c r="B43">
        <v>1</v>
      </c>
      <c r="C43" s="1">
        <f t="shared" si="0"/>
        <v>0.29762800075126877</v>
      </c>
      <c r="D43" s="1">
        <f t="shared" si="1"/>
        <v>0.29762800075126877</v>
      </c>
    </row>
    <row r="44" spans="1:4" x14ac:dyDescent="0.2">
      <c r="A44">
        <v>42</v>
      </c>
      <c r="B44">
        <v>1</v>
      </c>
      <c r="C44" s="1">
        <f t="shared" si="0"/>
        <v>0.28895922403035801</v>
      </c>
      <c r="D44" s="1">
        <f t="shared" si="1"/>
        <v>0.28895922403035801</v>
      </c>
    </row>
    <row r="45" spans="1:4" x14ac:dyDescent="0.2">
      <c r="A45">
        <v>43</v>
      </c>
      <c r="B45">
        <v>1</v>
      </c>
      <c r="C45" s="1">
        <f t="shared" si="0"/>
        <v>0.28054293595180391</v>
      </c>
      <c r="D45" s="1">
        <f t="shared" si="1"/>
        <v>0.28054293595180391</v>
      </c>
    </row>
    <row r="46" spans="1:4" x14ac:dyDescent="0.2">
      <c r="A46">
        <v>44</v>
      </c>
      <c r="B46">
        <v>1</v>
      </c>
      <c r="C46" s="1">
        <f t="shared" si="0"/>
        <v>0.27237178247747956</v>
      </c>
      <c r="D46" s="1">
        <f t="shared" si="1"/>
        <v>0.27237178247747956</v>
      </c>
    </row>
    <row r="47" spans="1:4" x14ac:dyDescent="0.2">
      <c r="A47">
        <v>45</v>
      </c>
      <c r="B47">
        <v>1</v>
      </c>
      <c r="C47" s="1">
        <f t="shared" si="0"/>
        <v>0.26443862376454325</v>
      </c>
      <c r="D47" s="1">
        <f t="shared" si="1"/>
        <v>0.26443862376454325</v>
      </c>
    </row>
    <row r="48" spans="1:4" x14ac:dyDescent="0.2">
      <c r="A48">
        <v>46</v>
      </c>
      <c r="B48">
        <v>1</v>
      </c>
      <c r="C48" s="1">
        <f t="shared" si="0"/>
        <v>0.25673652792674101</v>
      </c>
      <c r="D48" s="1">
        <f t="shared" si="1"/>
        <v>0.25673652792674101</v>
      </c>
    </row>
    <row r="49" spans="1:4" x14ac:dyDescent="0.2">
      <c r="A49">
        <v>47</v>
      </c>
      <c r="B49">
        <v>1</v>
      </c>
      <c r="C49" s="1">
        <f t="shared" si="0"/>
        <v>0.24925876497741845</v>
      </c>
      <c r="D49" s="1">
        <f t="shared" si="1"/>
        <v>0.24925876497741845</v>
      </c>
    </row>
    <row r="50" spans="1:4" x14ac:dyDescent="0.2">
      <c r="A50">
        <v>48</v>
      </c>
      <c r="B50">
        <v>1</v>
      </c>
      <c r="C50" s="1">
        <f t="shared" si="0"/>
        <v>0.24199880094894996</v>
      </c>
      <c r="D50" s="1">
        <f t="shared" si="1"/>
        <v>0.24199880094894996</v>
      </c>
    </row>
    <row r="51" spans="1:4" x14ac:dyDescent="0.2">
      <c r="A51">
        <v>49</v>
      </c>
      <c r="B51">
        <v>1</v>
      </c>
      <c r="C51" s="1">
        <f t="shared" si="0"/>
        <v>0.2349502921834466</v>
      </c>
      <c r="D51" s="1">
        <f t="shared" si="1"/>
        <v>0.2349502921834466</v>
      </c>
    </row>
    <row r="52" spans="1:4" x14ac:dyDescent="0.2">
      <c r="A52">
        <v>50</v>
      </c>
      <c r="B52">
        <v>1</v>
      </c>
      <c r="C52" s="1">
        <f t="shared" si="0"/>
        <v>0.22810707978975397</v>
      </c>
      <c r="D52" s="1">
        <f t="shared" si="1"/>
        <v>0.22810707978975397</v>
      </c>
    </row>
    <row r="53" spans="1:4" x14ac:dyDescent="0.2">
      <c r="A53">
        <v>51</v>
      </c>
      <c r="B53">
        <v>1</v>
      </c>
      <c r="C53" s="1">
        <f t="shared" si="0"/>
        <v>0.22146318426189707</v>
      </c>
      <c r="D53" s="1">
        <f t="shared" si="1"/>
        <v>0.22146318426189707</v>
      </c>
    </row>
    <row r="54" spans="1:4" x14ac:dyDescent="0.2">
      <c r="A54">
        <v>52</v>
      </c>
      <c r="B54">
        <v>1</v>
      </c>
      <c r="C54" s="1">
        <f t="shared" si="0"/>
        <v>0.215012800254269</v>
      </c>
      <c r="D54" s="1">
        <f t="shared" si="1"/>
        <v>0.215012800254269</v>
      </c>
    </row>
    <row r="55" spans="1:4" x14ac:dyDescent="0.2">
      <c r="A55">
        <v>53</v>
      </c>
      <c r="B55">
        <v>1</v>
      </c>
      <c r="C55" s="1">
        <f t="shared" si="0"/>
        <v>0.20875029150899907</v>
      </c>
      <c r="D55" s="1">
        <f t="shared" si="1"/>
        <v>0.20875029150899907</v>
      </c>
    </row>
    <row r="56" spans="1:4" x14ac:dyDescent="0.2">
      <c r="A56">
        <v>54</v>
      </c>
      <c r="B56">
        <v>1</v>
      </c>
      <c r="C56" s="1">
        <f t="shared" si="0"/>
        <v>0.20267018593106703</v>
      </c>
      <c r="D56" s="1">
        <f t="shared" si="1"/>
        <v>0.20267018593106703</v>
      </c>
    </row>
    <row r="57" spans="1:4" x14ac:dyDescent="0.2">
      <c r="A57">
        <v>55</v>
      </c>
      <c r="B57">
        <v>1</v>
      </c>
      <c r="C57" s="1">
        <f t="shared" si="0"/>
        <v>0.19676717080686118</v>
      </c>
      <c r="D57" s="1">
        <f t="shared" si="1"/>
        <v>0.19676717080686118</v>
      </c>
    </row>
    <row r="58" spans="1:4" x14ac:dyDescent="0.2">
      <c r="A58">
        <v>56</v>
      </c>
      <c r="B58">
        <v>1</v>
      </c>
      <c r="C58" s="1">
        <f t="shared" si="0"/>
        <v>0.19103608816200118</v>
      </c>
      <c r="D58" s="1">
        <f t="shared" si="1"/>
        <v>0.19103608816200118</v>
      </c>
    </row>
    <row r="59" spans="1:4" x14ac:dyDescent="0.2">
      <c r="A59">
        <v>57</v>
      </c>
      <c r="B59">
        <v>1</v>
      </c>
      <c r="C59" s="1">
        <f t="shared" si="0"/>
        <v>0.18547193025437006</v>
      </c>
      <c r="D59" s="1">
        <f t="shared" si="1"/>
        <v>0.18547193025437006</v>
      </c>
    </row>
    <row r="60" spans="1:4" x14ac:dyDescent="0.2">
      <c r="A60">
        <v>58</v>
      </c>
      <c r="B60">
        <v>1</v>
      </c>
      <c r="C60" s="1">
        <f t="shared" si="0"/>
        <v>0.18006983519841754</v>
      </c>
      <c r="D60" s="1">
        <f t="shared" si="1"/>
        <v>0.18006983519841754</v>
      </c>
    </row>
    <row r="61" spans="1:4" x14ac:dyDescent="0.2">
      <c r="A61">
        <v>59</v>
      </c>
      <c r="B61">
        <v>1</v>
      </c>
      <c r="C61" s="1">
        <f t="shared" si="0"/>
        <v>0.17482508271691022</v>
      </c>
      <c r="D61" s="1">
        <f t="shared" si="1"/>
        <v>0.17482508271691022</v>
      </c>
    </row>
    <row r="62" spans="1:4" x14ac:dyDescent="0.2">
      <c r="A62">
        <v>60</v>
      </c>
      <c r="B62">
        <v>1</v>
      </c>
      <c r="C62" s="1">
        <f t="shared" si="0"/>
        <v>0.1697330900164177</v>
      </c>
      <c r="D62" s="1">
        <f t="shared" si="1"/>
        <v>0.1697330900164177</v>
      </c>
    </row>
    <row r="63" spans="1:4" x14ac:dyDescent="0.2">
      <c r="A63">
        <v>61</v>
      </c>
      <c r="B63">
        <v>1</v>
      </c>
      <c r="C63" s="1">
        <f t="shared" si="0"/>
        <v>0.16478940778292983</v>
      </c>
      <c r="D63" s="1">
        <f t="shared" si="1"/>
        <v>0.16478940778292983</v>
      </c>
    </row>
    <row r="64" spans="1:4" x14ac:dyDescent="0.2">
      <c r="A64">
        <v>62</v>
      </c>
      <c r="B64">
        <v>1</v>
      </c>
      <c r="C64" s="1">
        <f t="shared" si="0"/>
        <v>0.15998971629410663</v>
      </c>
      <c r="D64" s="1">
        <f t="shared" si="1"/>
        <v>0.15998971629410663</v>
      </c>
    </row>
    <row r="65" spans="1:4" x14ac:dyDescent="0.2">
      <c r="A65">
        <v>63</v>
      </c>
      <c r="B65">
        <v>1</v>
      </c>
      <c r="C65" s="1">
        <f t="shared" si="0"/>
        <v>0.15532982164476369</v>
      </c>
      <c r="D65" s="1">
        <f t="shared" si="1"/>
        <v>0.15532982164476369</v>
      </c>
    </row>
    <row r="66" spans="1:4" x14ac:dyDescent="0.2">
      <c r="A66">
        <v>64</v>
      </c>
      <c r="B66">
        <v>1</v>
      </c>
      <c r="C66" s="1">
        <f t="shared" si="0"/>
        <v>0.15080565208229488</v>
      </c>
      <c r="D66" s="1">
        <f t="shared" si="1"/>
        <v>0.15080565208229488</v>
      </c>
    </row>
    <row r="67" spans="1:4" x14ac:dyDescent="0.2">
      <c r="A67">
        <v>65</v>
      </c>
      <c r="B67">
        <v>1</v>
      </c>
      <c r="C67" s="1">
        <f t="shared" ref="C67:C72" si="2">1/(1+3%)^A67</f>
        <v>0.14641325444882999</v>
      </c>
      <c r="D67" s="1">
        <f t="shared" ref="D67:D72" si="3">B67*C67</f>
        <v>0.14641325444882999</v>
      </c>
    </row>
    <row r="68" spans="1:4" x14ac:dyDescent="0.2">
      <c r="A68">
        <v>66</v>
      </c>
      <c r="B68">
        <v>1</v>
      </c>
      <c r="C68" s="1">
        <f t="shared" si="2"/>
        <v>0.14214879072701941</v>
      </c>
      <c r="D68" s="1">
        <f t="shared" si="3"/>
        <v>0.14214879072701941</v>
      </c>
    </row>
    <row r="69" spans="1:4" x14ac:dyDescent="0.2">
      <c r="A69">
        <v>67</v>
      </c>
      <c r="B69">
        <v>1</v>
      </c>
      <c r="C69" s="1">
        <f t="shared" si="2"/>
        <v>0.1380085346864266</v>
      </c>
      <c r="D69" s="1">
        <f t="shared" si="3"/>
        <v>0.1380085346864266</v>
      </c>
    </row>
    <row r="70" spans="1:4" x14ac:dyDescent="0.2">
      <c r="A70">
        <v>68</v>
      </c>
      <c r="B70">
        <v>1</v>
      </c>
      <c r="C70" s="1">
        <f t="shared" si="2"/>
        <v>0.13398886862759865</v>
      </c>
      <c r="D70" s="1">
        <f t="shared" si="3"/>
        <v>0.13398886862759865</v>
      </c>
    </row>
    <row r="71" spans="1:4" x14ac:dyDescent="0.2">
      <c r="A71">
        <v>69</v>
      </c>
      <c r="B71">
        <v>1</v>
      </c>
      <c r="C71" s="1">
        <f t="shared" si="2"/>
        <v>0.13008628022096957</v>
      </c>
      <c r="D71" s="1">
        <f t="shared" si="3"/>
        <v>0.13008628022096957</v>
      </c>
    </row>
    <row r="72" spans="1:4" x14ac:dyDescent="0.2">
      <c r="A72">
        <v>70</v>
      </c>
      <c r="B72">
        <v>1</v>
      </c>
      <c r="C72" s="1">
        <f t="shared" si="2"/>
        <v>0.12629735943783454</v>
      </c>
      <c r="D72" s="1">
        <f t="shared" si="3"/>
        <v>0.12629735943783454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1E1D-7B4C-B842-8CDE-1531F7FA9521}">
  <dimension ref="A1:C8"/>
  <sheetViews>
    <sheetView tabSelected="1" workbookViewId="0">
      <selection activeCell="C14" sqref="C14"/>
    </sheetView>
  </sheetViews>
  <sheetFormatPr baseColWidth="10" defaultRowHeight="16" x14ac:dyDescent="0.2"/>
  <cols>
    <col min="1" max="1" width="17.33203125" customWidth="1"/>
    <col min="2" max="2" width="21" customWidth="1"/>
  </cols>
  <sheetData>
    <row r="1" spans="1:3" x14ac:dyDescent="0.2">
      <c r="A1" s="2" t="s">
        <v>8</v>
      </c>
      <c r="B1" s="2" t="s">
        <v>9</v>
      </c>
      <c r="C1" s="2" t="s">
        <v>15</v>
      </c>
    </row>
    <row r="2" spans="1:3" x14ac:dyDescent="0.2">
      <c r="A2">
        <v>30</v>
      </c>
      <c r="B2">
        <v>20</v>
      </c>
      <c r="C2">
        <v>50</v>
      </c>
    </row>
    <row r="3" spans="1:3" x14ac:dyDescent="0.2">
      <c r="A3">
        <v>50</v>
      </c>
      <c r="B3">
        <v>30</v>
      </c>
      <c r="C3">
        <v>30</v>
      </c>
    </row>
    <row r="4" spans="1:3" x14ac:dyDescent="0.2">
      <c r="A4">
        <v>70</v>
      </c>
      <c r="B4">
        <v>50</v>
      </c>
      <c r="C4">
        <v>15</v>
      </c>
    </row>
    <row r="5" spans="1:3" x14ac:dyDescent="0.2">
      <c r="A5" t="s">
        <v>10</v>
      </c>
      <c r="B5" t="s">
        <v>14</v>
      </c>
    </row>
    <row r="6" spans="1:3" x14ac:dyDescent="0.2">
      <c r="A6" t="s">
        <v>11</v>
      </c>
      <c r="B6">
        <v>1000</v>
      </c>
    </row>
    <row r="7" spans="1:3" x14ac:dyDescent="0.2">
      <c r="A7" t="s">
        <v>12</v>
      </c>
      <c r="B7">
        <v>5</v>
      </c>
    </row>
    <row r="8" spans="1:3" x14ac:dyDescent="0.2">
      <c r="A8" t="s">
        <v>13</v>
      </c>
      <c r="B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2025-12-21T08:13:38Z</dcterms:created>
  <dcterms:modified xsi:type="dcterms:W3CDTF">2025-12-25T02:53:56Z</dcterms:modified>
</cp:coreProperties>
</file>